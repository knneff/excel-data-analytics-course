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d8546215b3d1077/Documents/Git repository/Excel-Tutorial-main/"/>
    </mc:Choice>
  </mc:AlternateContent>
  <xr:revisionPtr revIDLastSave="236" documentId="8_{AEE5DA8A-F772-4B0E-A554-1053E2C64027}" xr6:coauthVersionLast="47" xr6:coauthVersionMax="47" xr10:uidLastSave="{54C983A7-B560-4CC8-A9A6-39CA91B053F5}"/>
  <bookViews>
    <workbookView xWindow="-120" yWindow="-120" windowWidth="29040" windowHeight="15720" firstSheet="5" activeTab="10" xr2:uid="{47981922-77C5-4EC3-A76E-98D6CE997DC2}"/>
  </bookViews>
  <sheets>
    <sheet name="Max-Min" sheetId="9" r:id="rId1"/>
    <sheet name="IF-IFS" sheetId="8" r:id="rId2"/>
    <sheet name="Len" sheetId="2" r:id="rId3"/>
    <sheet name="LeftRight" sheetId="4" r:id="rId4"/>
    <sheet name="DateToText" sheetId="3" r:id="rId5"/>
    <sheet name="TRIM" sheetId="6" r:id="rId6"/>
    <sheet name="Substitute" sheetId="7" r:id="rId7"/>
    <sheet name="SUM-SumIF" sheetId="12" r:id="rId8"/>
    <sheet name="Count-CountIF" sheetId="5" r:id="rId9"/>
    <sheet name="Concatenate" sheetId="1" r:id="rId10"/>
    <sheet name="Days-NetworkDays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3" l="1"/>
  <c r="K4" i="13"/>
  <c r="K5" i="13"/>
  <c r="K6" i="13"/>
  <c r="K7" i="13"/>
  <c r="K8" i="13"/>
  <c r="K9" i="13"/>
  <c r="K10" i="13"/>
  <c r="K2" i="13"/>
  <c r="J3" i="13"/>
  <c r="J8" i="13"/>
  <c r="J2" i="13"/>
  <c r="M3" i="13"/>
  <c r="N3" i="13"/>
  <c r="M4" i="13"/>
  <c r="N4" i="13"/>
  <c r="J4" i="13" s="1"/>
  <c r="M5" i="13"/>
  <c r="N5" i="13"/>
  <c r="J5" i="13" s="1"/>
  <c r="M6" i="13"/>
  <c r="N6" i="13"/>
  <c r="J6" i="13" s="1"/>
  <c r="M7" i="13"/>
  <c r="N7" i="13"/>
  <c r="J7" i="13" s="1"/>
  <c r="M8" i="13"/>
  <c r="N8" i="13"/>
  <c r="M9" i="13"/>
  <c r="N9" i="13"/>
  <c r="J9" i="13" s="1"/>
  <c r="M10" i="13"/>
  <c r="N10" i="13"/>
  <c r="J10" i="13" s="1"/>
  <c r="M2" i="13"/>
  <c r="N2" i="13"/>
  <c r="J3" i="1"/>
  <c r="J4" i="1"/>
  <c r="J5" i="1"/>
  <c r="J6" i="1"/>
  <c r="J7" i="1"/>
  <c r="J8" i="1"/>
  <c r="J9" i="1"/>
  <c r="J10" i="1"/>
  <c r="J2" i="1"/>
  <c r="L2" i="5"/>
  <c r="K2" i="5"/>
  <c r="J2" i="5"/>
  <c r="L2" i="12"/>
  <c r="K2" i="12"/>
  <c r="J2" i="12"/>
  <c r="L2" i="7" a="1"/>
  <c r="L2" i="7" s="1"/>
  <c r="K2" i="7" a="1"/>
  <c r="K2" i="7" s="1"/>
  <c r="J2" i="7" a="1"/>
  <c r="J2" i="7" s="1"/>
  <c r="J2" i="6" a="1"/>
  <c r="J2" i="6" s="1"/>
  <c r="J2" i="3" a="1"/>
  <c r="J2" i="3" s="1"/>
  <c r="K2" i="4" a="1"/>
  <c r="K2" i="4" s="1"/>
  <c r="M2" i="4" a="1"/>
  <c r="M2" i="4" s="1"/>
  <c r="L2" i="4" a="1"/>
  <c r="L2" i="4" s="1"/>
  <c r="J2" i="2" a="1"/>
  <c r="J2" i="2" s="1"/>
  <c r="K2" i="8" a="1"/>
  <c r="K2" i="8" s="1"/>
  <c r="J2" i="8" a="1"/>
  <c r="J2" i="8" s="1"/>
  <c r="K2" i="9"/>
  <c r="J2" i="9"/>
  <c r="H11" i="1"/>
  <c r="H1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<sst xmlns="http://schemas.openxmlformats.org/spreadsheetml/2006/main" count="583" uniqueCount="88">
  <si>
    <t>FirstName</t>
  </si>
  <si>
    <t>LastName</t>
  </si>
  <si>
    <t>Jim</t>
  </si>
  <si>
    <t>Halpert</t>
  </si>
  <si>
    <t>Pam</t>
  </si>
  <si>
    <t>Beasley</t>
  </si>
  <si>
    <t>Dwight</t>
  </si>
  <si>
    <t>Schrute</t>
  </si>
  <si>
    <t>Michael</t>
  </si>
  <si>
    <t>Scott</t>
  </si>
  <si>
    <t>Kevin</t>
  </si>
  <si>
    <t>Malone</t>
  </si>
  <si>
    <t>Martin</t>
  </si>
  <si>
    <t>Angela</t>
  </si>
  <si>
    <t>Toby</t>
  </si>
  <si>
    <t>Flenderson</t>
  </si>
  <si>
    <t>Stanley</t>
  </si>
  <si>
    <t>Hudson</t>
  </si>
  <si>
    <t>CONCATENATE(B2," ",C2)</t>
  </si>
  <si>
    <t>LEN(B2)</t>
  </si>
  <si>
    <t>EmployeeID</t>
  </si>
  <si>
    <t>JobTitle</t>
  </si>
  <si>
    <t>Salary</t>
  </si>
  <si>
    <t>Age</t>
  </si>
  <si>
    <t>Gender</t>
  </si>
  <si>
    <t>Salesman</t>
  </si>
  <si>
    <t>Male</t>
  </si>
  <si>
    <t>Receptionist</t>
  </si>
  <si>
    <t>Female</t>
  </si>
  <si>
    <t>Accountant</t>
  </si>
  <si>
    <t>HR</t>
  </si>
  <si>
    <t>Regional Manager</t>
  </si>
  <si>
    <t>Supplier Relations</t>
  </si>
  <si>
    <t>Meredith</t>
  </si>
  <si>
    <t>Palmer</t>
  </si>
  <si>
    <t>Can be used to see difference between 100s and thousands. Can find bad Social Security numbers if they're 10 digits instead of 9</t>
  </si>
  <si>
    <t>StartDate</t>
  </si>
  <si>
    <t>EndDate</t>
  </si>
  <si>
    <t>Email</t>
  </si>
  <si>
    <t>Jim.Halpert@DunderMifflin.com</t>
  </si>
  <si>
    <t>Pam.Beasley@DunderMifflin.com</t>
  </si>
  <si>
    <t>Dwight.Schrute@AOL.com</t>
  </si>
  <si>
    <t>Angela.Martin@DunderMifflin.com</t>
  </si>
  <si>
    <t>Toby.Flenderson@DunderMifflinCorporate.com</t>
  </si>
  <si>
    <t>Michael.Scott@DunderMifflin.com</t>
  </si>
  <si>
    <t>Meredith.Palmer@Yahoo.com</t>
  </si>
  <si>
    <t>Stanley.Hudson@gmail.com</t>
  </si>
  <si>
    <t>Kevin.Malone@DunderMifflin.com</t>
  </si>
  <si>
    <t>11/2/2001</t>
  </si>
  <si>
    <t>10/3/1999</t>
  </si>
  <si>
    <t>7/4/2000</t>
  </si>
  <si>
    <t>1/5/2000</t>
  </si>
  <si>
    <t>5/6/2001</t>
  </si>
  <si>
    <t>11/8/2003</t>
  </si>
  <si>
    <t>6/9/2002</t>
  </si>
  <si>
    <t>8/10/2003</t>
  </si>
  <si>
    <t>9/6/2015</t>
  </si>
  <si>
    <t>10/10/2015</t>
  </si>
  <si>
    <t>9/8/2017</t>
  </si>
  <si>
    <t>12/3/2015</t>
  </si>
  <si>
    <t>8/30/2017</t>
  </si>
  <si>
    <t>9/11/2013</t>
  </si>
  <si>
    <t>4/22/2015</t>
  </si>
  <si>
    <t xml:space="preserve">Malone </t>
  </si>
  <si>
    <t xml:space="preserve">  Hudson</t>
  </si>
  <si>
    <t xml:space="preserve">   Scott</t>
  </si>
  <si>
    <t xml:space="preserve">Flenderson    </t>
  </si>
  <si>
    <t xml:space="preserve"> Schrute</t>
  </si>
  <si>
    <t>TRIM(C2)</t>
  </si>
  <si>
    <t>It just removes unwanted spaces on both sides</t>
  </si>
  <si>
    <t>TEXT(H2,"dd/mm/yyyy")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</si>
  <si>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</si>
  <si>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</si>
  <si>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</si>
  <si>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</si>
  <si>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</si>
  <si>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</si>
  <si>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</si>
  <si>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</si>
  <si>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</si>
  <si>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Max</t>
  </si>
  <si>
    <t>Min</t>
  </si>
  <si>
    <t>IF</t>
  </si>
  <si>
    <t>IFS</t>
  </si>
  <si>
    <t>DAYS</t>
  </si>
  <si>
    <t>NETWORKDAYS</t>
  </si>
  <si>
    <t>Left</t>
  </si>
  <si>
    <t>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</si>
</sst>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9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D7546-D251-4908-B99A-2A3B4BFE22EA}">
  <sheetPr>
    <tabColor theme="9"/>
  </sheetPr>
  <dimension ref="A1:K10"/>
  <sheetViews>
    <sheetView workbookViewId="0">
      <selection activeCell="L8" sqref="L8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80</v>
      </c>
      <c r="K1" t="s">
        <v>81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s="3">
        <f>MAX(G2:G10)</f>
        <v>65000</v>
      </c>
      <c r="K2" s="3">
        <f>MIN(G2:G10)</f>
        <v>36000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3BB1-397D-4AFC-8E96-ABE0D0515A1B}">
  <sheetPr>
    <tabColor theme="9"/>
  </sheetPr>
  <dimension ref="A1:K10"/>
  <sheetViews>
    <sheetView workbookViewId="0">
      <selection activeCell="K23" sqref="K23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11" max="11" width="18.855468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82</v>
      </c>
      <c r="K1" t="s">
        <v>83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IF(D2:D10 &gt;= 35, "Old", "Young")</f>
        <v>Young</v>
      </c>
      <c r="K2" t="str" cm="1">
        <f t="array" ref="K2:K10">_xlfn.IFS(G2:G10 &gt;= 60000, "High Salary", G2:G10 &gt;= 40000, "Mid Salary", TRUE, "Low Salary")</f>
        <v>Mid Salary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Young</v>
      </c>
      <c r="K3" t="str">
        <v>Low Salary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Young</v>
      </c>
      <c r="K4" t="str">
        <v>High Salary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Young</v>
      </c>
      <c r="K5" t="str">
        <v>Mid Salary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Young</v>
      </c>
      <c r="K6" t="str">
        <v>Mid Salary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Old</v>
      </c>
      <c r="K7" t="str">
        <v>High Salary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Young</v>
      </c>
      <c r="K8" t="str">
        <v>Mid Salary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Old</v>
      </c>
      <c r="K9" t="str">
        <v>Mid Salary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Young</v>
      </c>
      <c r="K10" t="str">
        <v>Mid Salary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B4A2A-B2F2-4EC9-9616-29355E7995DC}">
  <sheetPr>
    <tabColor theme="9"/>
  </sheetPr>
  <dimension ref="A1:L10"/>
  <sheetViews>
    <sheetView workbookViewId="0">
      <selection activeCell="J15" sqref="J15"/>
    </sheetView>
  </sheetViews>
  <sheetFormatPr defaultColWidth="10.85546875" defaultRowHeight="15" x14ac:dyDescent="0.25"/>
  <cols>
    <col min="1" max="1" width="10.7109375" bestFit="1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19</v>
      </c>
      <c r="L1" t="s">
        <v>35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cm="1">
        <f t="array" ref="J2:J10">LEN(B2:B10)</f>
        <v>3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v>3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>
        <v>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>
        <v>6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>
        <v>4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>
        <v>7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>
        <v>8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>
        <v>7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54FE-DA24-43B2-AD9D-17E8CC017065}">
  <sheetPr>
    <tabColor theme="9"/>
  </sheetPr>
  <dimension ref="A1:M10"/>
  <sheetViews>
    <sheetView workbookViewId="0">
      <selection activeCell="K19" sqref="K19"/>
    </sheetView>
  </sheetViews>
  <sheetFormatPr defaultColWidth="14.5703125" defaultRowHeight="15" x14ac:dyDescent="0.25"/>
  <cols>
    <col min="4" max="4" width="8" customWidth="1"/>
    <col min="10" max="10" width="44.42578125" customWidth="1"/>
  </cols>
  <sheetData>
    <row r="1" spans="1:13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38</v>
      </c>
      <c r="K1" t="s">
        <v>86</v>
      </c>
      <c r="L1" t="s">
        <v>87</v>
      </c>
      <c r="M1" t="s">
        <v>87</v>
      </c>
    </row>
    <row r="2" spans="1:13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s="1" t="s">
        <v>39</v>
      </c>
      <c r="K2" t="str" cm="1">
        <f t="array" ref="K2:K10">LEFT(E2:E10, 1)</f>
        <v>M</v>
      </c>
      <c r="L2" t="str" cm="1">
        <f t="array" ref="L2:L10">RIGHT(H2:H10, 4)</f>
        <v>2001</v>
      </c>
      <c r="M2" t="str" cm="1">
        <f t="array" ref="M2:M10">RIGHT(I2:I10,4)</f>
        <v>2015</v>
      </c>
    </row>
    <row r="3" spans="1:13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s="1" t="s">
        <v>40</v>
      </c>
      <c r="K3" t="str">
        <v>F</v>
      </c>
      <c r="L3" t="str">
        <v>1999</v>
      </c>
      <c r="M3" t="str">
        <v>2015</v>
      </c>
    </row>
    <row r="4" spans="1:13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s="1" t="s">
        <v>41</v>
      </c>
      <c r="K4" t="str">
        <v>M</v>
      </c>
      <c r="L4" t="str">
        <v>2000</v>
      </c>
      <c r="M4" t="str">
        <v>2017</v>
      </c>
    </row>
    <row r="5" spans="1:13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s="1" t="s">
        <v>42</v>
      </c>
      <c r="K5" t="str">
        <v>F</v>
      </c>
      <c r="L5" t="str">
        <v>2000</v>
      </c>
      <c r="M5" t="str">
        <v>2015</v>
      </c>
    </row>
    <row r="6" spans="1:13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s="1" t="s">
        <v>43</v>
      </c>
      <c r="K6" t="str">
        <v>M</v>
      </c>
      <c r="L6" t="str">
        <v>2001</v>
      </c>
      <c r="M6" t="str">
        <v>2017</v>
      </c>
    </row>
    <row r="7" spans="1:13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s="1" t="s">
        <v>44</v>
      </c>
      <c r="K7" t="str">
        <v>M</v>
      </c>
      <c r="L7" t="str">
        <v>2001</v>
      </c>
      <c r="M7" t="str">
        <v>2013</v>
      </c>
    </row>
    <row r="8" spans="1:13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s="1" t="s">
        <v>45</v>
      </c>
      <c r="K8" t="str">
        <v>F</v>
      </c>
      <c r="L8" t="str">
        <v>2003</v>
      </c>
      <c r="M8" t="str">
        <v>2013</v>
      </c>
    </row>
    <row r="9" spans="1:13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s="1" t="s">
        <v>46</v>
      </c>
      <c r="K9" t="str">
        <v>M</v>
      </c>
      <c r="L9" t="str">
        <v>2002</v>
      </c>
      <c r="M9" t="str">
        <v>2015</v>
      </c>
    </row>
    <row r="10" spans="1:13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s="1" t="s">
        <v>47</v>
      </c>
      <c r="K10" t="str">
        <v>M</v>
      </c>
      <c r="L10" t="str">
        <v>2003</v>
      </c>
      <c r="M10" t="str">
        <v>2015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4862C-FF60-4E24-9054-4C595B8DA66E}">
  <sheetPr>
    <tabColor theme="9"/>
  </sheetPr>
  <dimension ref="A1:K13"/>
  <sheetViews>
    <sheetView workbookViewId="0">
      <selection activeCell="I24" sqref="I24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10" max="10" width="22.855468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70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TEXT(H2:H10,"dd/mm/yyyy")</f>
        <v>02/11/2001</v>
      </c>
      <c r="K2" s="2"/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03/10/1999</v>
      </c>
      <c r="K3" s="2"/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04/07/2000</v>
      </c>
      <c r="K4" s="2"/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05/01/2000</v>
      </c>
      <c r="K5" s="2"/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06/05/2001</v>
      </c>
      <c r="K6" s="2"/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07/12/1995</v>
      </c>
      <c r="K7" s="2"/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08/11/2003</v>
      </c>
      <c r="K8" s="2"/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09/06/2002</v>
      </c>
      <c r="K9" s="2"/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10/08/2003</v>
      </c>
      <c r="K10" s="2"/>
    </row>
    <row r="12" spans="1:11" x14ac:dyDescent="0.25">
      <c r="H12" s="1"/>
    </row>
    <row r="13" spans="1:11" x14ac:dyDescent="0.25">
      <c r="H1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69BBA-836F-48E1-B067-27B71B706556}">
  <sheetPr>
    <tabColor theme="9"/>
  </sheetPr>
  <dimension ref="A1:K10"/>
  <sheetViews>
    <sheetView workbookViewId="0">
      <selection activeCell="I20" sqref="I20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9" max="9" width="16.4257812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68</v>
      </c>
      <c r="K1" t="s">
        <v>69</v>
      </c>
    </row>
    <row r="2" spans="1:11" x14ac:dyDescent="0.25">
      <c r="A2">
        <v>1001</v>
      </c>
      <c r="B2" s="2" t="s">
        <v>2</v>
      </c>
      <c r="C2" s="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TRIM(C2:C10)</f>
        <v>Halpert</v>
      </c>
    </row>
    <row r="3" spans="1:11" x14ac:dyDescent="0.25">
      <c r="A3">
        <v>1002</v>
      </c>
      <c r="B3" s="2" t="s">
        <v>4</v>
      </c>
      <c r="C3" s="2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Beasley</v>
      </c>
    </row>
    <row r="4" spans="1:11" x14ac:dyDescent="0.25">
      <c r="A4">
        <v>1003</v>
      </c>
      <c r="B4" s="2" t="s">
        <v>6</v>
      </c>
      <c r="C4" s="2" t="s">
        <v>67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Schrute</v>
      </c>
    </row>
    <row r="5" spans="1:11" x14ac:dyDescent="0.25">
      <c r="A5">
        <v>1004</v>
      </c>
      <c r="B5" s="2" t="s">
        <v>13</v>
      </c>
      <c r="C5" s="2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Martin</v>
      </c>
    </row>
    <row r="6" spans="1:11" x14ac:dyDescent="0.25">
      <c r="A6">
        <v>1005</v>
      </c>
      <c r="B6" s="2" t="s">
        <v>14</v>
      </c>
      <c r="C6" s="2" t="s">
        <v>66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Flenderson</v>
      </c>
    </row>
    <row r="7" spans="1:11" x14ac:dyDescent="0.25">
      <c r="A7">
        <v>1006</v>
      </c>
      <c r="B7" s="2" t="s">
        <v>8</v>
      </c>
      <c r="C7" s="2" t="s">
        <v>65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Scott</v>
      </c>
    </row>
    <row r="8" spans="1:11" x14ac:dyDescent="0.25">
      <c r="A8">
        <v>1007</v>
      </c>
      <c r="B8" s="2" t="s">
        <v>33</v>
      </c>
      <c r="C8" s="2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Palmer</v>
      </c>
    </row>
    <row r="9" spans="1:11" x14ac:dyDescent="0.25">
      <c r="A9">
        <v>1008</v>
      </c>
      <c r="B9" s="2" t="s">
        <v>16</v>
      </c>
      <c r="C9" s="2" t="s">
        <v>64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Hudson</v>
      </c>
    </row>
    <row r="10" spans="1:11" x14ac:dyDescent="0.25">
      <c r="A10">
        <v>1009</v>
      </c>
      <c r="B10" s="2" t="s">
        <v>10</v>
      </c>
      <c r="C10" s="2" t="s">
        <v>63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Malone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9C42-087D-43BC-95CC-49AE54CDC17A}">
  <sheetPr>
    <tabColor theme="9"/>
  </sheetPr>
  <dimension ref="A1:L20"/>
  <sheetViews>
    <sheetView workbookViewId="0">
      <selection activeCell="M21" sqref="M21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6" max="6" width="20.28515625" customWidth="1"/>
    <col min="10" max="10" width="15.140625" customWidth="1"/>
    <col min="11" max="11" width="15.42578125" customWidth="1"/>
    <col min="12" max="12" width="18.14062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71</v>
      </c>
      <c r="K1" t="s">
        <v>72</v>
      </c>
      <c r="L1" t="s">
        <v>73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t="str" cm="1">
        <f t="array" ref="J2:J10">SUBSTITUTE(H2:H10,"/","-",1)</f>
        <v>11-2/2001</v>
      </c>
      <c r="K2" t="str" cm="1">
        <f t="array" ref="K2:K10">SUBSTITUTE(I2:I10,"/","-",2)</f>
        <v>9/6-2015</v>
      </c>
      <c r="L2" t="str" cm="1">
        <f t="array" ref="L2:L10">SUBSTITUTE(J2:J10,"/","-")</f>
        <v>11-2-2001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t="str">
        <v>10-3/1999</v>
      </c>
      <c r="K3" t="str">
        <v>10/10-2015</v>
      </c>
      <c r="L3" t="str">
        <v>10-3-1999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t="str">
        <v>7-4/2000</v>
      </c>
      <c r="K4" t="str">
        <v>9/8-2017</v>
      </c>
      <c r="L4" t="str">
        <v>7-4-2000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t="str">
        <v>1-5/2000</v>
      </c>
      <c r="K5" t="str">
        <v>12/3-2015</v>
      </c>
      <c r="L5" t="str">
        <v>1-5-2000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t="str">
        <v>5-6/2001</v>
      </c>
      <c r="K6" t="str">
        <v>8/30-2017</v>
      </c>
      <c r="L6" t="str">
        <v>5-6-2001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t="str">
        <v>5-6/2001</v>
      </c>
      <c r="K7" t="str">
        <v>9/11-2013</v>
      </c>
      <c r="L7" t="str">
        <v>5-6-2001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t="str">
        <v>11-8/2003</v>
      </c>
      <c r="K8" t="str">
        <v>9/11-2013</v>
      </c>
      <c r="L8" t="str">
        <v>11-8-2003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t="str">
        <v>6-9/2002</v>
      </c>
      <c r="K9" t="str">
        <v>4/22-2015</v>
      </c>
      <c r="L9" t="str">
        <v>6-9-2002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t="str">
        <v>8-10/2003</v>
      </c>
      <c r="K10" t="str">
        <v>4/22-2015</v>
      </c>
      <c r="L10" t="str">
        <v>8-10-2003</v>
      </c>
    </row>
    <row r="12" spans="1:12" x14ac:dyDescent="0.25">
      <c r="H12" s="2"/>
      <c r="I12" s="2"/>
    </row>
    <row r="13" spans="1:12" x14ac:dyDescent="0.25">
      <c r="H13" s="2"/>
      <c r="I13" s="2"/>
    </row>
    <row r="14" spans="1:12" x14ac:dyDescent="0.25">
      <c r="H14" s="2"/>
      <c r="I14" s="2"/>
    </row>
    <row r="15" spans="1:12" x14ac:dyDescent="0.25">
      <c r="H15" s="2"/>
      <c r="I15" s="2"/>
    </row>
    <row r="16" spans="1:12" x14ac:dyDescent="0.25">
      <c r="H16" s="2"/>
      <c r="I16" s="2"/>
    </row>
    <row r="17" spans="8:9" x14ac:dyDescent="0.25">
      <c r="H17" s="2"/>
      <c r="I17" s="2"/>
    </row>
    <row r="18" spans="8:9" x14ac:dyDescent="0.25">
      <c r="H18" s="2"/>
      <c r="I18" s="2"/>
    </row>
    <row r="19" spans="8:9" x14ac:dyDescent="0.25">
      <c r="H19" s="2"/>
      <c r="I19" s="2"/>
    </row>
    <row r="20" spans="8:9" x14ac:dyDescent="0.25">
      <c r="H20" s="2"/>
      <c r="I20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C5D0-EC67-4288-8B29-30C6E5CFEE73}">
  <sheetPr>
    <tabColor theme="9"/>
  </sheetPr>
  <dimension ref="A1:L10"/>
  <sheetViews>
    <sheetView workbookViewId="0">
      <selection activeCell="L12" sqref="L12"/>
    </sheetView>
  </sheetViews>
  <sheetFormatPr defaultColWidth="13" defaultRowHeight="15" x14ac:dyDescent="0.25"/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74</v>
      </c>
      <c r="K1" t="s">
        <v>75</v>
      </c>
      <c r="L1" t="s">
        <v>76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SUM(G2:G10)</f>
        <v>437000</v>
      </c>
      <c r="K2">
        <f>SUMIF(G2:G10,"&gt;50000")</f>
        <v>128000</v>
      </c>
      <c r="L2">
        <f>SUMIFS(G2:G10,G2:G10,"&gt;50000",D2:D10,"&gt;30")</f>
        <v>65000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17F6E-9452-40AF-AFA2-377600A25F44}">
  <sheetPr>
    <tabColor theme="9"/>
  </sheetPr>
  <dimension ref="A1:L10"/>
  <sheetViews>
    <sheetView workbookViewId="0">
      <selection activeCell="L18" sqref="L18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77</v>
      </c>
      <c r="K1" t="s">
        <v>78</v>
      </c>
      <c r="L1" t="s">
        <v>79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COUNT(D2:D10)</f>
        <v>9</v>
      </c>
      <c r="K2">
        <f>COUNTIF(D2:D10, "&gt;30")</f>
        <v>6</v>
      </c>
      <c r="L2">
        <f>COUNTIFS(D2:D10, "&gt;30",E2:E10,"=Male")</f>
        <v>4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7C31-5FD1-4473-A6A1-29ABAD3F7755}">
  <sheetPr>
    <tabColor theme="9"/>
  </sheetPr>
  <dimension ref="A1:J12"/>
  <sheetViews>
    <sheetView workbookViewId="0">
      <selection activeCell="I16" sqref="I16"/>
    </sheetView>
  </sheetViews>
  <sheetFormatPr defaultRowHeight="15" x14ac:dyDescent="0.25"/>
  <cols>
    <col min="2" max="2" width="10.42578125" customWidth="1"/>
    <col min="3" max="5" width="10.7109375" customWidth="1"/>
    <col min="6" max="6" width="16.5703125" customWidth="1"/>
    <col min="8" max="8" width="14.28515625" customWidth="1"/>
    <col min="9" max="9" width="14.7109375" customWidth="1"/>
    <col min="10" max="10" width="25" customWidth="1"/>
  </cols>
  <sheetData>
    <row r="1" spans="1:10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18</v>
      </c>
    </row>
    <row r="2" spans="1:10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>
        <f>_xlfn.CONCAT(B2, " ",C2)</f>
        <v>Jim Halpert</v>
      </c>
    </row>
    <row r="3" spans="1:10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f t="shared" ref="J3:J10" si="0">_xlfn.CONCAT(B3, " ",C3)</f>
        <v>Pam Beasley</v>
      </c>
    </row>
    <row r="4" spans="1:10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f t="shared" si="0"/>
        <v>Dwight Schrute</v>
      </c>
    </row>
    <row r="5" spans="1:10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f t="shared" si="0"/>
        <v>Angela Martin</v>
      </c>
    </row>
    <row r="6" spans="1:10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f t="shared" si="0"/>
        <v>Toby Flenderson</v>
      </c>
    </row>
    <row r="7" spans="1:10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f t="shared" si="0"/>
        <v>Michael Scott</v>
      </c>
    </row>
    <row r="8" spans="1:10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f t="shared" si="0"/>
        <v>Meredith Palmer</v>
      </c>
    </row>
    <row r="9" spans="1:10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f t="shared" si="0"/>
        <v>Stanley Hudson</v>
      </c>
    </row>
    <row r="10" spans="1:10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f t="shared" si="0"/>
        <v>Kevin Malone</v>
      </c>
    </row>
    <row r="11" spans="1:10" x14ac:dyDescent="0.25">
      <c r="H11" t="str">
        <f t="shared" ref="H11:H12" si="1">CONCATENATE(B11," ",C11)</f>
        <v xml:space="preserve"> </v>
      </c>
    </row>
    <row r="12" spans="1:10" x14ac:dyDescent="0.25">
      <c r="H12" t="str">
        <f t="shared" si="1"/>
        <v xml:space="preserve"> 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CEFD-E950-4ACE-A7FD-83ED10CB531A}">
  <sheetPr>
    <tabColor theme="9"/>
  </sheetPr>
  <dimension ref="A1:N10"/>
  <sheetViews>
    <sheetView tabSelected="1" workbookViewId="0">
      <selection activeCell="K28" sqref="K28"/>
    </sheetView>
  </sheetViews>
  <sheetFormatPr defaultRowHeight="15" x14ac:dyDescent="0.25"/>
  <cols>
    <col min="8" max="8" width="14.42578125" customWidth="1"/>
    <col min="9" max="9" width="13.28515625" customWidth="1"/>
    <col min="10" max="10" width="11.28515625" customWidth="1"/>
    <col min="11" max="13" width="20.140625" customWidth="1"/>
    <col min="14" max="14" width="13.28515625" customWidth="1"/>
    <col min="15" max="15" width="9.140625" customWidth="1"/>
  </cols>
  <sheetData>
    <row r="1" spans="1:14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84</v>
      </c>
      <c r="K1" t="s">
        <v>85</v>
      </c>
    </row>
    <row r="2" spans="1:14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>
        <f>_xlfn.DAYS(N2,M2)</f>
        <v>5056</v>
      </c>
      <c r="K2">
        <f>NETWORKDAYS(M2,N2)</f>
        <v>3611</v>
      </c>
      <c r="M2" t="str">
        <f>MID(H2,FIND("/",H2)+1,FIND("/",H2,FIND("/",H2)+1)-FIND("/",H2)-1) &amp; "/" &amp; LEFT(H2,FIND("/",H2)-1) &amp; "/" &amp; RIGHT(H2,LEN(H2)-FIND("/",H2,FIND("/",H2)+1))</f>
        <v>2/11/2001</v>
      </c>
      <c r="N2" t="str">
        <f>MID(I2,FIND("/",I2)+1,FIND("/",I2,FIND("/",I2)+1)-FIND("/",I2)-1) &amp; "/" &amp; LEFT(I2,FIND("/",I2)-1) &amp; "/" &amp; RIGHT(I2,LEN(I2)-FIND("/",I2,FIND("/",I2)+1))</f>
        <v>6/9/2015</v>
      </c>
    </row>
    <row r="3" spans="1:14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>
        <f t="shared" ref="J3:J10" si="0">_xlfn.DAYS(N3,M3)</f>
        <v>5851</v>
      </c>
      <c r="K3">
        <f t="shared" ref="K3:K10" si="1">NETWORKDAYS(M3,N3)</f>
        <v>4180</v>
      </c>
      <c r="M3" t="str">
        <f t="shared" ref="M3:M10" si="2">MID(H3,FIND("/",H3)+1,FIND("/",H3,FIND("/",H3)+1)-FIND("/",H3)-1) &amp; "/" &amp; LEFT(H3,FIND("/",H3)-1) &amp; "/" &amp; RIGHT(H3,LEN(H3)-FIND("/",H3,FIND("/",H3)+1))</f>
        <v>3/10/1999</v>
      </c>
      <c r="N3" t="str">
        <f t="shared" ref="N3:N10" si="3">MID(I3,FIND("/",I3)+1,FIND("/",I3,FIND("/",I3)+1)-FIND("/",I3)-1) &amp; "/" &amp; LEFT(I3,FIND("/",I3)-1) &amp; "/" &amp; RIGHT(I3,LEN(I3)-FIND("/",I3,FIND("/",I3)+1))</f>
        <v>10/10/2015</v>
      </c>
    </row>
    <row r="4" spans="1:14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>
        <f t="shared" si="0"/>
        <v>6275</v>
      </c>
      <c r="K4">
        <f t="shared" si="1"/>
        <v>4484</v>
      </c>
      <c r="M4" t="str">
        <f t="shared" si="2"/>
        <v>4/7/2000</v>
      </c>
      <c r="N4" t="str">
        <f t="shared" si="3"/>
        <v>8/9/2017</v>
      </c>
    </row>
    <row r="5" spans="1:14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>
        <f t="shared" si="0"/>
        <v>5811</v>
      </c>
      <c r="K5">
        <f t="shared" si="1"/>
        <v>4152</v>
      </c>
      <c r="M5" t="str">
        <f t="shared" si="2"/>
        <v>5/1/2000</v>
      </c>
      <c r="N5" t="str">
        <f t="shared" si="3"/>
        <v>3/12/2015</v>
      </c>
    </row>
    <row r="6" spans="1:14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>
        <f t="shared" si="0"/>
        <v>5960</v>
      </c>
      <c r="K6">
        <f t="shared" si="1"/>
        <v>4258</v>
      </c>
      <c r="M6" t="str">
        <f t="shared" si="2"/>
        <v>6/5/2001</v>
      </c>
      <c r="N6" t="str">
        <f t="shared" si="3"/>
        <v>30/8/2017</v>
      </c>
    </row>
    <row r="7" spans="1:14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>
        <f t="shared" si="0"/>
        <v>4511</v>
      </c>
      <c r="K7">
        <f t="shared" si="1"/>
        <v>3223</v>
      </c>
      <c r="M7" t="str">
        <f t="shared" si="2"/>
        <v>6/5/2001</v>
      </c>
      <c r="N7" t="str">
        <f t="shared" si="3"/>
        <v>11/9/2013</v>
      </c>
    </row>
    <row r="8" spans="1:14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>
        <f t="shared" si="0"/>
        <v>3595</v>
      </c>
      <c r="K8">
        <f t="shared" si="1"/>
        <v>2568</v>
      </c>
      <c r="M8" t="str">
        <f t="shared" si="2"/>
        <v>8/11/2003</v>
      </c>
      <c r="N8" t="str">
        <f t="shared" si="3"/>
        <v>11/9/2013</v>
      </c>
    </row>
    <row r="9" spans="1:14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>
        <f t="shared" si="0"/>
        <v>4700</v>
      </c>
      <c r="K9">
        <f t="shared" si="1"/>
        <v>3358</v>
      </c>
      <c r="M9" t="str">
        <f t="shared" si="2"/>
        <v>9/6/2002</v>
      </c>
      <c r="N9" t="str">
        <f t="shared" si="3"/>
        <v>22/4/2015</v>
      </c>
    </row>
    <row r="10" spans="1:14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>
        <f t="shared" si="0"/>
        <v>4273</v>
      </c>
      <c r="K10">
        <f t="shared" si="1"/>
        <v>3053</v>
      </c>
      <c r="M10" t="str">
        <f t="shared" si="2"/>
        <v>10/8/2003</v>
      </c>
      <c r="N10" t="str">
        <f t="shared" si="3"/>
        <v>22/4/2015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Substitute</vt:lpstr>
      <vt:lpstr>SUM-SumIF</vt:lpstr>
      <vt:lpstr>Count-CountIF</vt:lpstr>
      <vt:lpstr>Concatenate</vt:lpstr>
      <vt:lpstr>Days-NetworkDays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Ken Manalo</cp:lastModifiedBy>
  <dcterms:created xsi:type="dcterms:W3CDTF">2021-12-16T14:18:34Z</dcterms:created>
  <dcterms:modified xsi:type="dcterms:W3CDTF">2025-12-27T06:02:03Z</dcterms:modified>
</cp:coreProperties>
</file>