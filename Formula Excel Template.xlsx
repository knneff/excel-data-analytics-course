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8546215b3d1077/Documents/Git repository/Excel-Tutorial-main/"/>
    </mc:Choice>
  </mc:AlternateContent>
  <xr:revisionPtr revIDLastSave="237" documentId="8_{AEE5DA8A-F772-4B0E-A554-1053E2C64027}" xr6:coauthVersionLast="47" xr6:coauthVersionMax="47" xr10:uidLastSave="{7DA07024-F664-44CE-9D4C-87F3FFB23E58}"/>
  <bookViews>
    <workbookView xWindow="-120" yWindow="-120" windowWidth="29040" windowHeight="1572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8" i="13"/>
  <c r="J2" i="13"/>
  <c r="M3" i="13"/>
  <c r="N3" i="13"/>
  <c r="M4" i="13"/>
  <c r="N4" i="13"/>
  <c r="J4" i="13" s="1"/>
  <c r="M5" i="13"/>
  <c r="N5" i="13"/>
  <c r="J5" i="13" s="1"/>
  <c r="M6" i="13"/>
  <c r="N6" i="13"/>
  <c r="J6" i="13" s="1"/>
  <c r="M7" i="13"/>
  <c r="N7" i="13"/>
  <c r="J7" i="13" s="1"/>
  <c r="M8" i="13"/>
  <c r="N8" i="13"/>
  <c r="M9" i="13"/>
  <c r="N9" i="13"/>
  <c r="J9" i="13" s="1"/>
  <c r="M10" i="13"/>
  <c r="N10" i="13"/>
  <c r="J10" i="13" s="1"/>
  <c r="M2" i="13"/>
  <c r="N2" i="13"/>
  <c r="J3" i="1"/>
  <c r="J4" i="1"/>
  <c r="J5" i="1"/>
  <c r="J6" i="1"/>
  <c r="J7" i="1"/>
  <c r="J8" i="1"/>
  <c r="J9" i="1"/>
  <c r="J10" i="1"/>
  <c r="J2" i="1"/>
  <c r="L2" i="5"/>
  <c r="K2" i="5"/>
  <c r="J2" i="5"/>
  <c r="L2" i="12"/>
  <c r="K2" i="12"/>
  <c r="J2" i="12"/>
  <c r="L2" i="7" a="1"/>
  <c r="L2" i="7" s="1"/>
  <c r="K2" i="7" a="1"/>
  <c r="K2" i="7" s="1"/>
  <c r="J2" i="7" a="1"/>
  <c r="J2" i="7" s="1"/>
  <c r="J2" i="6" a="1"/>
  <c r="J2" i="6" s="1"/>
  <c r="J2" i="3" a="1"/>
  <c r="J2" i="3" s="1"/>
  <c r="K2" i="4" a="1"/>
  <c r="K2" i="4" s="1"/>
  <c r="M2" i="4" a="1"/>
  <c r="M2" i="4" s="1"/>
  <c r="L2" i="4" a="1"/>
  <c r="L2" i="4" s="1"/>
  <c r="J2" i="2" a="1"/>
  <c r="J2" i="2" s="1"/>
  <c r="K2" i="8" a="1"/>
  <c r="K2" i="8" s="1"/>
  <c r="J2" i="8" a="1"/>
  <c r="J2" i="8" s="1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<sst xmlns="http://schemas.openxmlformats.org/spreadsheetml/2006/main" count="583" uniqueCount="88">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</sst>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L8" sqref="L8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3">
        <f>MAX(G2:G10)</f>
        <v>65000</v>
      </c>
      <c r="K2" s="3">
        <f>MIN(G2:G10)</f>
        <v>36000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K23" sqref="K23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 &gt;= 35, "Old", "Young")</f>
        <v>Young</v>
      </c>
      <c r="K2" t="str" cm="1">
        <f t="array" ref="K2:K10">_xlfn.IFS(G2:G10 &gt;= 60000, "High Salary", G2:G10 &gt;= 40000, "Mid Salary", TRUE, "Low Salary")</f>
        <v>Mid Salary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Low Salary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High Salary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Young</v>
      </c>
      <c r="K5" t="str">
        <v>Mid Salary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Young</v>
      </c>
      <c r="K6" t="str">
        <v>Mid Salary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High Salary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Young</v>
      </c>
      <c r="K8" t="str">
        <v>Mid Salary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Mid Salary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Young</v>
      </c>
      <c r="K10" t="str">
        <v>Mid Salary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15" sqref="J15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LEN(B2:B10)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3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4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7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8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7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K19" sqref="K19"/>
    </sheetView>
  </sheetViews>
  <sheetFormatPr defaultColWidth="14.5703125" defaultRowHeight="15" x14ac:dyDescent="0.25"/>
  <cols>
    <col min="4" max="4" width="8" customWidth="1"/>
    <col min="10" max="10" width="44.42578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LEFT(E2:E10, 1)</f>
        <v>M</v>
      </c>
      <c r="L2" t="str" cm="1">
        <f t="array" ref="L2:L10">RIGHT(H2:H10, 4)</f>
        <v>2001</v>
      </c>
      <c r="M2" t="str" cm="1">
        <f t="array" ref="M2:M10">RIGHT(I2:I10,4)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F</v>
      </c>
      <c r="L3" t="str">
        <v>1999</v>
      </c>
      <c r="M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M</v>
      </c>
      <c r="L4" t="str">
        <v>2000</v>
      </c>
      <c r="M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F</v>
      </c>
      <c r="L5" t="str">
        <v>2000</v>
      </c>
      <c r="M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M</v>
      </c>
      <c r="L6" t="str">
        <v>2001</v>
      </c>
      <c r="M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</v>
      </c>
      <c r="L7" t="str">
        <v>2001</v>
      </c>
      <c r="M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F</v>
      </c>
      <c r="L8" t="str">
        <v>2003</v>
      </c>
      <c r="M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M</v>
      </c>
      <c r="L9" t="str">
        <v>2002</v>
      </c>
      <c r="M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M</v>
      </c>
      <c r="L10" t="str">
        <v>2003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I24" sqref="I2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0" max="10" width="22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I20" sqref="I20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9" max="9" width="16.425781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M21" sqref="M21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6" max="6" width="20.28515625" customWidth="1"/>
    <col min="10" max="10" width="15.140625" customWidth="1"/>
    <col min="11" max="11" width="15.42578125" customWidth="1"/>
    <col min="12" max="12" width="18.14062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SUBSTITUTE(I2:I10,"/","-",2)</f>
        <v>9/6-2015</v>
      </c>
      <c r="L2" t="str" cm="1">
        <f t="array" ref="L2:L10">SUBSTITUTE(J2:J10,"/","-")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10/10-2015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9/8-2017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12/3-2015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8/30-2017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9/11-2013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9/11-2013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4/22-2015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4/22-2015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12" sqref="L12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SUMIFS(G2:G10,G2:G10,"&gt;50000",D2:D10,"&gt;30")</f>
        <v>65000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18" sqref="L18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COUNTIF(D2:D10, "&gt;30")</f>
        <v>6</v>
      </c>
      <c r="L2">
        <f>COUNTIFS(D2:D10, "&gt;30",E2:E10,"=Male")</f>
        <v>4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I16" sqref="I16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5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 " ",C2)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 " ",C3)</f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5">
      <c r="H11" t="str">
        <f t="shared" ref="H11:H12" si="1">CONCATENATE(B11," ",C11)</f>
        <v xml:space="preserve"> </v>
      </c>
    </row>
    <row r="12" spans="1:10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N10"/>
  <sheetViews>
    <sheetView tabSelected="1" workbookViewId="0">
      <selection activeCell="K29" sqref="K29"/>
    </sheetView>
  </sheetViews>
  <sheetFormatPr defaultRowHeight="15" x14ac:dyDescent="0.25"/>
  <cols>
    <col min="8" max="8" width="14.42578125" customWidth="1"/>
    <col min="9" max="9" width="13.28515625" customWidth="1"/>
    <col min="10" max="10" width="11.28515625" customWidth="1"/>
    <col min="11" max="11" width="20.140625" customWidth="1"/>
    <col min="12" max="12" width="16.85546875" customWidth="1"/>
    <col min="13" max="13" width="20.140625" customWidth="1"/>
    <col min="14" max="14" width="13.28515625" customWidth="1"/>
    <col min="15" max="15" width="9.140625" customWidth="1"/>
  </cols>
  <sheetData>
    <row r="1" spans="1:14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4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_xlfn.DAYS(N2,M2)</f>
        <v>5056</v>
      </c>
      <c r="K2">
        <f>NETWORKDAYS(M2,N2)</f>
        <v>3611</v>
      </c>
      <c r="M2" t="str">
        <f>MID(H2,FIND("/",H2)+1,FIND("/",H2,FIND("/",H2)+1)-FIND("/",H2)-1) &amp; "/" &amp; LEFT(H2,FIND("/",H2)-1) &amp; "/" &amp; RIGHT(H2,LEN(H2)-FIND("/",H2,FIND("/",H2)+1))</f>
        <v>2/11/2001</v>
      </c>
      <c r="N2" t="str">
        <f>MID(I2,FIND("/",I2)+1,FIND("/",I2,FIND("/",I2)+1)-FIND("/",I2)-1) &amp; "/" &amp; LEFT(I2,FIND("/",I2)-1) &amp; "/" &amp; RIGHT(I2,LEN(I2)-FIND("/",I2,FIND("/",I2)+1))</f>
        <v>6/9/2015</v>
      </c>
    </row>
    <row r="3" spans="1:14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_xlfn.DAYS(N3,M3)</f>
        <v>5851</v>
      </c>
      <c r="K3">
        <f t="shared" ref="K3:K10" si="1">NETWORKDAYS(M3,N3)</f>
        <v>4180</v>
      </c>
      <c r="M3" t="str">
        <f t="shared" ref="M3:M10" si="2">MID(H3,FIND("/",H3)+1,FIND("/",H3,FIND("/",H3)+1)-FIND("/",H3)-1) &amp; "/" &amp; LEFT(H3,FIND("/",H3)-1) &amp; "/" &amp; RIGHT(H3,LEN(H3)-FIND("/",H3,FIND("/",H3)+1))</f>
        <v>3/10/1999</v>
      </c>
      <c r="N3" t="str">
        <f t="shared" ref="N3:N10" si="3">MID(I3,FIND("/",I3)+1,FIND("/",I3,FIND("/",I3)+1)-FIND("/",I3)-1) &amp; "/" &amp; LEFT(I3,FIND("/",I3)-1) &amp; "/" &amp; RIGHT(I3,LEN(I3)-FIND("/",I3,FIND("/",I3)+1))</f>
        <v>10/10/2015</v>
      </c>
    </row>
    <row r="4" spans="1:14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  <c r="M4" t="str">
        <f t="shared" si="2"/>
        <v>4/7/2000</v>
      </c>
      <c r="N4" t="str">
        <f t="shared" si="3"/>
        <v>8/9/2017</v>
      </c>
    </row>
    <row r="5" spans="1:14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  <c r="M5" t="str">
        <f t="shared" si="2"/>
        <v>5/1/2000</v>
      </c>
      <c r="N5" t="str">
        <f t="shared" si="3"/>
        <v>3/12/2015</v>
      </c>
    </row>
    <row r="6" spans="1:14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  <c r="M6" t="str">
        <f t="shared" si="2"/>
        <v>6/5/2001</v>
      </c>
      <c r="N6" t="str">
        <f t="shared" si="3"/>
        <v>30/8/2017</v>
      </c>
    </row>
    <row r="7" spans="1:14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  <c r="M7" t="str">
        <f t="shared" si="2"/>
        <v>6/5/2001</v>
      </c>
      <c r="N7" t="str">
        <f t="shared" si="3"/>
        <v>11/9/2013</v>
      </c>
    </row>
    <row r="8" spans="1:14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  <c r="M8" t="str">
        <f t="shared" si="2"/>
        <v>8/11/2003</v>
      </c>
      <c r="N8" t="str">
        <f t="shared" si="3"/>
        <v>11/9/2013</v>
      </c>
    </row>
    <row r="9" spans="1:14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  <c r="M9" t="str">
        <f t="shared" si="2"/>
        <v>9/6/2002</v>
      </c>
      <c r="N9" t="str">
        <f t="shared" si="3"/>
        <v>22/4/2015</v>
      </c>
    </row>
    <row r="10" spans="1:14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  <c r="M10" t="str">
        <f t="shared" si="2"/>
        <v>10/8/2003</v>
      </c>
      <c r="N10" t="str">
        <f t="shared" si="3"/>
        <v>22/4/2015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Ken Manalo</cp:lastModifiedBy>
  <dcterms:created xsi:type="dcterms:W3CDTF">2021-12-16T14:18:34Z</dcterms:created>
  <dcterms:modified xsi:type="dcterms:W3CDTF">2025-12-27T06:12:57Z</dcterms:modified>
</cp:coreProperties>
</file>